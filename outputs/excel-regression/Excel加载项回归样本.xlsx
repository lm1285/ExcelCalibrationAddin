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加载项\outputs\excel-regression\"/>
    </mc:Choice>
  </mc:AlternateContent>
  <xr:revisionPtr revIDLastSave="0" documentId="13_ncr:1_{DE88FD6B-4C63-4CDD-B386-928E61F561EE}" xr6:coauthVersionLast="47" xr6:coauthVersionMax="47" xr10:uidLastSave="{00000000-0000-0000-0000-000000000000}"/>
  <bookViews>
    <workbookView xWindow="0" yWindow="1455" windowWidth="18015" windowHeight="9405" xr2:uid="{00000000-000D-0000-FFFF-FFFF00000000}"/>
  </bookViews>
  <sheets>
    <sheet name="回归清单" sheetId="1" r:id="rId1"/>
    <sheet name="原始记录" sheetId="2" r:id="rId2"/>
    <sheet name="公式分支" sheetId="3" r:id="rId3"/>
    <sheet name="台账" sheetId="4" r:id="rId4"/>
  </sheets>
  <definedNames>
    <definedName name="_xlnm.Print_Area" localSheetId="1">原始记录!$A$1:$H$14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F5" i="3" s="1"/>
  <c r="H5" i="3" s="1"/>
  <c r="E4" i="3"/>
  <c r="F4" i="3" s="1"/>
  <c r="H4" i="3" s="1"/>
  <c r="F12" i="2"/>
  <c r="H12" i="2" s="1"/>
  <c r="F11" i="2"/>
  <c r="H11" i="2" s="1"/>
  <c r="E7" i="2"/>
  <c r="F7" i="2" s="1"/>
  <c r="H7" i="2" s="1"/>
  <c r="E6" i="2"/>
  <c r="F6" i="2" s="1"/>
  <c r="H6" i="2" s="1"/>
  <c r="E5" i="2"/>
  <c r="F5" i="2" s="1"/>
  <c r="H5" i="2" s="1"/>
  <c r="K7" i="1"/>
  <c r="K6" i="1"/>
  <c r="K5" i="1"/>
  <c r="K4" i="1"/>
</calcChain>
</file>

<file path=xl/sharedStrings.xml><?xml version="1.0" encoding="utf-8"?>
<sst xmlns="http://schemas.openxmlformats.org/spreadsheetml/2006/main" count="152" uniqueCount="94">
  <si>
    <t>Excel 加载项实机回归清单</t>
  </si>
  <si>
    <t>用例编号</t>
  </si>
  <si>
    <t>场景</t>
  </si>
  <si>
    <t>前置条件</t>
  </si>
  <si>
    <t>操作</t>
  </si>
  <si>
    <t>预期结果</t>
  </si>
  <si>
    <t>实际结果</t>
  </si>
  <si>
    <t>状态</t>
  </si>
  <si>
    <t>问题编号</t>
  </si>
  <si>
    <t>执行摘要</t>
  </si>
  <si>
    <t>数量</t>
  </si>
  <si>
    <t>EXCEL-01</t>
  </si>
  <si>
    <t>单工作簿全流程</t>
  </si>
  <si>
    <t>仅打开本样本</t>
  </si>
  <si>
    <t>识别、保存模板、生成、撤销</t>
  </si>
  <si>
    <t>规则可保存，生成值符合误差，撤销恢复原值</t>
  </si>
  <si>
    <t>未执行</t>
  </si>
  <si>
    <t>通过</t>
  </si>
  <si>
    <t>EXCEL-02</t>
  </si>
  <si>
    <t>多工作簿切换</t>
  </si>
  <si>
    <t>再打开一个空白工作簿</t>
  </si>
  <si>
    <t>两个工作簿之间切换并分别识别</t>
  </si>
  <si>
    <t>任务窗格和规则状态按工作簿隔离</t>
  </si>
  <si>
    <t>失败</t>
  </si>
  <si>
    <t>EXCEL-03</t>
  </si>
  <si>
    <t>打印区域</t>
  </si>
  <si>
    <t>将原始记录设置为 A1:H14 打印区域</t>
  </si>
  <si>
    <t>重新识别工作表</t>
  </si>
  <si>
    <t>仅使用打印区域内的表头和项目</t>
  </si>
  <si>
    <t>阻塞</t>
  </si>
  <si>
    <t>EXCEL-04</t>
  </si>
  <si>
    <t>合并单元格与多级表头</t>
  </si>
  <si>
    <t>原始记录包含合并标题和表头</t>
  </si>
  <si>
    <t>识别标准值、测量值、误差和技术要求</t>
  </si>
  <si>
    <t>区域不偏移，合并覆盖行不被当作可写行</t>
  </si>
  <si>
    <t>EXCEL-05</t>
  </si>
  <si>
    <t>公式条件分支</t>
  </si>
  <si>
    <t>使用公式分支工作表</t>
  </si>
  <si>
    <t>识别相对误差和绝对误差分支并生成</t>
  </si>
  <si>
    <t>两个标准点按各自分支校验为合格</t>
  </si>
  <si>
    <t>EXCEL-06</t>
  </si>
  <si>
    <t>多个校准项目</t>
  </si>
  <si>
    <t>原始记录同时包含示值误差和重复性</t>
  </si>
  <si>
    <t>分别确认规则并一次生成</t>
  </si>
  <si>
    <t>各项目写入独立区域，不覆盖公式</t>
  </si>
  <si>
    <t>EXCEL-07</t>
  </si>
  <si>
    <t>模板重新匹配</t>
  </si>
  <si>
    <t>先完成模板保存</t>
  </si>
  <si>
    <t>关闭并重新打开样本后识别</t>
  </si>
  <si>
    <t>本地模板自动命中，瞬时测量值不进入持久化规则</t>
  </si>
  <si>
    <t>EXCEL-08</t>
  </si>
  <si>
    <t>异常回滚与关闭</t>
  </si>
  <si>
    <t>生成前复制一份样本</t>
  </si>
  <si>
    <t>制造无效误差后生成，再关闭 Excel</t>
  </si>
  <si>
    <t>失败时不留部分写入，关闭无残留进程与 COM 异常</t>
  </si>
  <si>
    <t>校准原始记录回归样本</t>
  </si>
  <si>
    <t>仪器名称</t>
  </si>
  <si>
    <t>数字指示仪</t>
  </si>
  <si>
    <t>型号</t>
  </si>
  <si>
    <t>REG-001</t>
  </si>
  <si>
    <t>温度</t>
  </si>
  <si>
    <t>23 ℃</t>
  </si>
  <si>
    <t>湿度</t>
  </si>
  <si>
    <t>45 %RH</t>
  </si>
  <si>
    <t>校准项目</t>
  </si>
  <si>
    <t>标准值</t>
  </si>
  <si>
    <t>测量值</t>
  </si>
  <si>
    <t>平均值</t>
  </si>
  <si>
    <t>示值误差</t>
  </si>
  <si>
    <t>技术要求</t>
  </si>
  <si>
    <t>结论</t>
  </si>
  <si>
    <t>第 1 次</t>
  </si>
  <si>
    <t>第 2 次</t>
  </si>
  <si>
    <t>±0.5</t>
  </si>
  <si>
    <t>重复性项目</t>
  </si>
  <si>
    <t>测量 1</t>
  </si>
  <si>
    <t>测量 2</t>
  </si>
  <si>
    <t>测量 3</t>
  </si>
  <si>
    <t>极差</t>
  </si>
  <si>
    <t>重复性</t>
  </si>
  <si>
    <t>≤0.10</t>
  </si>
  <si>
    <t>相对/绝对误差公式分支样本</t>
  </si>
  <si>
    <t>误差结果</t>
  </si>
  <si>
    <t>≤0.5%</t>
  </si>
  <si>
    <t>±1</t>
  </si>
  <si>
    <t>非校准工作表（自动匹配应跳过）</t>
  </si>
  <si>
    <t>编号</t>
  </si>
  <si>
    <t>设备</t>
  </si>
  <si>
    <t>备注</t>
  </si>
  <si>
    <t>在用</t>
  </si>
  <si>
    <t>仅用于验证无关工作表跳过</t>
  </si>
  <si>
    <t>REG-002</t>
  </si>
  <si>
    <t>停用</t>
  </si>
  <si>
    <t>REG-003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</si>
</sst>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24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 style="thin">
        <color rgb="FFA6A6A6"/>
      </bottom>
      <diagonal/>
    </border>
    <border>
      <left/>
      <right/>
      <top style="thin">
        <color rgb="FFD9D9D9"/>
      </top>
      <bottom style="thin">
        <color rgb="FFA6A6A6"/>
      </bottom>
      <diagonal/>
    </border>
    <border>
      <left/>
      <right style="thin">
        <color rgb="FFD9D9D9"/>
      </right>
      <top style="thin">
        <color rgb="FFD9D9D9"/>
      </top>
      <bottom style="thin">
        <color rgb="FFA6A6A6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0" fillId="0" borderId="10" xfId="1" applyFont="1" applyBorder="1" applyAlignment="1">
      <alignment vertical="center" wrapText="1"/>
    </xf>
    <xf numFmtId="0" fontId="0" fillId="0" borderId="11" xfId="1" applyFont="1" applyBorder="1" applyAlignment="1">
      <alignment vertical="center" wrapText="1"/>
    </xf>
    <xf numFmtId="0" fontId="0" fillId="0" borderId="4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4" borderId="12" xfId="1" applyFont="1" applyFill="1" applyBorder="1" applyAlignment="1">
      <alignment vertical="center"/>
    </xf>
    <xf numFmtId="0" fontId="0" fillId="4" borderId="13" xfId="1" applyFont="1" applyFill="1" applyBorder="1" applyAlignment="1">
      <alignment vertical="center"/>
    </xf>
    <xf numFmtId="0" fontId="0" fillId="4" borderId="14" xfId="1" applyFont="1" applyFill="1" applyBorder="1" applyAlignment="1">
      <alignment vertical="center"/>
    </xf>
    <xf numFmtId="0" fontId="2" fillId="3" borderId="19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vertical="center"/>
    </xf>
    <xf numFmtId="0" fontId="0" fillId="0" borderId="0" xfId="1" applyFont="1" applyAlignment="1">
      <alignment vertical="center"/>
    </xf>
    <xf numFmtId="0" fontId="0" fillId="0" borderId="10" xfId="1" applyFont="1" applyBorder="1" applyAlignment="1">
      <alignment vertical="center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2" fillId="3" borderId="23" xfId="1" applyFont="1" applyFill="1" applyBorder="1" applyAlignment="1">
      <alignment horizontal="center" vertical="center" wrapText="1"/>
    </xf>
    <xf numFmtId="2" fontId="0" fillId="0" borderId="5" xfId="1" applyNumberFormat="1" applyFont="1" applyBorder="1" applyAlignment="1">
      <alignment vertical="center"/>
    </xf>
    <xf numFmtId="2" fontId="0" fillId="0" borderId="0" xfId="1" applyNumberFormat="1" applyFont="1" applyAlignment="1">
      <alignment vertical="center"/>
    </xf>
    <xf numFmtId="2" fontId="0" fillId="0" borderId="10" xfId="1" applyNumberFormat="1" applyFont="1" applyBorder="1" applyAlignment="1">
      <alignment vertical="center"/>
    </xf>
    <xf numFmtId="176" fontId="0" fillId="0" borderId="4" xfId="1" applyNumberFormat="1" applyFont="1" applyBorder="1" applyAlignment="1">
      <alignment vertical="center"/>
    </xf>
    <xf numFmtId="176" fontId="0" fillId="0" borderId="5" xfId="1" applyNumberFormat="1" applyFont="1" applyBorder="1" applyAlignment="1">
      <alignment vertical="center"/>
    </xf>
    <xf numFmtId="176" fontId="0" fillId="0" borderId="9" xfId="1" applyNumberFormat="1" applyFont="1" applyBorder="1" applyAlignment="1">
      <alignment vertical="center"/>
    </xf>
    <xf numFmtId="176" fontId="0" fillId="0" borderId="10" xfId="1" applyNumberFormat="1" applyFont="1" applyBorder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3" borderId="15" xfId="1" applyFont="1" applyFill="1" applyBorder="1" applyAlignment="1">
      <alignment horizontal="center" vertical="center" wrapText="1"/>
    </xf>
    <xf numFmtId="0" fontId="2" fillId="3" borderId="18" xfId="1" applyFont="1" applyFill="1" applyBorder="1" applyAlignment="1">
      <alignment horizontal="center" vertical="center" wrapText="1"/>
    </xf>
    <xf numFmtId="0" fontId="2" fillId="3" borderId="16" xfId="1" applyFont="1" applyFill="1" applyBorder="1" applyAlignment="1">
      <alignment horizontal="center" vertical="center" wrapText="1"/>
    </xf>
    <xf numFmtId="0" fontId="2" fillId="3" borderId="19" xfId="1" applyFont="1" applyFill="1" applyBorder="1" applyAlignment="1">
      <alignment horizontal="center" vertical="center" wrapText="1"/>
    </xf>
    <xf numFmtId="0" fontId="2" fillId="3" borderId="17" xfId="1" applyFont="1" applyFill="1" applyBorder="1" applyAlignment="1">
      <alignment horizontal="center" vertical="center" wrapText="1"/>
    </xf>
    <xf numFmtId="0" fontId="2" fillId="3" borderId="20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vertical="center"/>
    </xf>
    <xf numFmtId="0" fontId="0" fillId="0" borderId="0" xfId="1" applyFont="1" applyAlignment="1">
      <alignment vertical="center"/>
    </xf>
    <xf numFmtId="0" fontId="0" fillId="0" borderId="10" xfId="1" applyFont="1" applyBorder="1" applyAlignment="1">
      <alignment vertical="center"/>
    </xf>
    <xf numFmtId="0" fontId="3" fillId="5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sqref="A1:H1"/>
    </sheetView>
  </sheetViews>
  <sheetFormatPr defaultRowHeight="14.25"/>
  <cols>
    <col min="1" max="1" width="12" customWidth="1"/>
    <col min="2" max="2" width="20" customWidth="1"/>
    <col min="3" max="5" width="28" customWidth="1"/>
    <col min="6" max="6" width="24" customWidth="1"/>
    <col min="7" max="8" width="13" customWidth="1"/>
    <col min="10" max="11" width="13" customWidth="1"/>
  </cols>
  <sheetData>
    <row r="1" spans="1:11" ht="30" customHeight="1">
      <c r="A1" s="36" t="s">
        <v>0</v>
      </c>
      <c r="B1" s="36" t="s">
        <v>0</v>
      </c>
      <c r="C1" s="36" t="s">
        <v>0</v>
      </c>
      <c r="D1" s="36" t="s">
        <v>0</v>
      </c>
      <c r="E1" s="36" t="s">
        <v>0</v>
      </c>
      <c r="F1" s="36" t="s">
        <v>0</v>
      </c>
      <c r="G1" s="36" t="s">
        <v>0</v>
      </c>
      <c r="H1" s="36" t="s">
        <v>0</v>
      </c>
    </row>
    <row r="3" spans="1:11" ht="1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J3" s="1" t="s">
        <v>9</v>
      </c>
      <c r="K3" s="3" t="s">
        <v>10</v>
      </c>
    </row>
    <row r="4" spans="1:11" ht="48" customHeight="1">
      <c r="A4" s="4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/>
      <c r="G4" s="5" t="s">
        <v>16</v>
      </c>
      <c r="H4" s="6"/>
      <c r="J4" s="13" t="s">
        <v>17</v>
      </c>
      <c r="K4" s="14">
        <f>COUNTIF(G4:G11,"通过")</f>
        <v>0</v>
      </c>
    </row>
    <row r="5" spans="1:11" ht="48" customHeight="1">
      <c r="A5" s="7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8"/>
      <c r="G5" s="8" t="s">
        <v>16</v>
      </c>
      <c r="H5" s="9"/>
      <c r="J5" s="15" t="s">
        <v>23</v>
      </c>
      <c r="K5" s="16">
        <f>COUNTIF(G4:G11,"失败")</f>
        <v>0</v>
      </c>
    </row>
    <row r="6" spans="1:11" ht="48" customHeight="1">
      <c r="A6" s="7" t="s">
        <v>24</v>
      </c>
      <c r="B6" s="8" t="s">
        <v>25</v>
      </c>
      <c r="C6" s="8" t="s">
        <v>26</v>
      </c>
      <c r="D6" s="8" t="s">
        <v>27</v>
      </c>
      <c r="E6" s="8" t="s">
        <v>28</v>
      </c>
      <c r="F6" s="8"/>
      <c r="G6" s="8" t="s">
        <v>16</v>
      </c>
      <c r="H6" s="9"/>
      <c r="J6" s="15" t="s">
        <v>29</v>
      </c>
      <c r="K6" s="16">
        <f>COUNTIF(G4:G11,"阻塞")</f>
        <v>0</v>
      </c>
    </row>
    <row r="7" spans="1:11" ht="48" customHeight="1">
      <c r="A7" s="7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/>
      <c r="G7" s="8" t="s">
        <v>16</v>
      </c>
      <c r="H7" s="9"/>
      <c r="J7" s="17" t="s">
        <v>16</v>
      </c>
      <c r="K7" s="18">
        <f>COUNTIF(G4:G11,"未执行")</f>
        <v>8</v>
      </c>
    </row>
    <row r="8" spans="1:11" ht="48" customHeight="1">
      <c r="A8" s="7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8"/>
      <c r="G8" s="8" t="s">
        <v>16</v>
      </c>
      <c r="H8" s="9"/>
    </row>
    <row r="9" spans="1:11" ht="48" customHeight="1">
      <c r="A9" s="7" t="s">
        <v>40</v>
      </c>
      <c r="B9" s="8" t="s">
        <v>41</v>
      </c>
      <c r="C9" s="8" t="s">
        <v>42</v>
      </c>
      <c r="D9" s="8" t="s">
        <v>43</v>
      </c>
      <c r="E9" s="8" t="s">
        <v>44</v>
      </c>
      <c r="F9" s="8"/>
      <c r="G9" s="8" t="s">
        <v>16</v>
      </c>
      <c r="H9" s="9"/>
    </row>
    <row r="10" spans="1:11" ht="48" customHeight="1">
      <c r="A10" s="7" t="s">
        <v>45</v>
      </c>
      <c r="B10" s="8" t="s">
        <v>46</v>
      </c>
      <c r="C10" s="8" t="s">
        <v>47</v>
      </c>
      <c r="D10" s="8" t="s">
        <v>48</v>
      </c>
      <c r="E10" s="8" t="s">
        <v>49</v>
      </c>
      <c r="F10" s="8"/>
      <c r="G10" s="8" t="s">
        <v>16</v>
      </c>
      <c r="H10" s="9"/>
    </row>
    <row r="11" spans="1:11" ht="48" customHeight="1">
      <c r="A11" s="10" t="s">
        <v>50</v>
      </c>
      <c r="B11" s="11" t="s">
        <v>51</v>
      </c>
      <c r="C11" s="11" t="s">
        <v>52</v>
      </c>
      <c r="D11" s="11" t="s">
        <v>53</v>
      </c>
      <c r="E11" s="11" t="s">
        <v>54</v>
      </c>
      <c r="F11" s="11"/>
      <c r="G11" s="11" t="s">
        <v>16</v>
      </c>
      <c r="H11" s="12"/>
    </row>
  </sheetData>
  <mergeCells count="1">
    <mergeCell ref="A1:H1"/>
  </mergeCells>
  <phoneticPr fontId="5" type="noConversion"/>
  <conditionalFormatting sqref="G4:G11">
    <cfRule type="containsText" dxfId="3" priority="1" operator="containsText" text="通过"/>
    <cfRule type="containsText" dxfId="2" priority="2" operator="containsText" text="失败"/>
  </conditionalFormatting>
  <dataValidations count="1">
    <dataValidation type="list" sqref="G4:G11" xr:uid="{00000000-0002-0000-0000-000000000000}">
      <formula1>"未执行,通过,失败,阻塞"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/>
  </sheetViews>
  <sheetFormatPr defaultRowHeight="14.25"/>
  <cols>
    <col min="1" max="1" width="18" customWidth="1"/>
    <col min="2" max="7" width="14" customWidth="1"/>
    <col min="8" max="8" width="12" customWidth="1"/>
  </cols>
  <sheetData>
    <row r="1" spans="1:8" ht="30" customHeight="1">
      <c r="A1" s="36" t="s">
        <v>55</v>
      </c>
      <c r="B1" s="36" t="s">
        <v>55</v>
      </c>
      <c r="C1" s="36" t="s">
        <v>55</v>
      </c>
      <c r="D1" s="36" t="s">
        <v>55</v>
      </c>
      <c r="E1" s="36" t="s">
        <v>55</v>
      </c>
      <c r="F1" s="36" t="s">
        <v>55</v>
      </c>
      <c r="G1" s="36" t="s">
        <v>55</v>
      </c>
      <c r="H1" s="36" t="s">
        <v>55</v>
      </c>
    </row>
    <row r="2" spans="1:8">
      <c r="A2" s="19" t="s">
        <v>56</v>
      </c>
      <c r="B2" s="20" t="s">
        <v>57</v>
      </c>
      <c r="C2" s="20" t="s">
        <v>58</v>
      </c>
      <c r="D2" s="20" t="s">
        <v>59</v>
      </c>
      <c r="E2" s="20" t="s">
        <v>60</v>
      </c>
      <c r="F2" s="20" t="s">
        <v>61</v>
      </c>
      <c r="G2" s="20" t="s">
        <v>62</v>
      </c>
      <c r="H2" s="21" t="s">
        <v>63</v>
      </c>
    </row>
    <row r="3" spans="1:8" ht="15">
      <c r="A3" s="37" t="s">
        <v>64</v>
      </c>
      <c r="B3" s="39" t="s">
        <v>65</v>
      </c>
      <c r="C3" s="39" t="s">
        <v>66</v>
      </c>
      <c r="D3" s="39"/>
      <c r="E3" s="39" t="s">
        <v>67</v>
      </c>
      <c r="F3" s="39" t="s">
        <v>68</v>
      </c>
      <c r="G3" s="39" t="s">
        <v>69</v>
      </c>
      <c r="H3" s="41" t="s">
        <v>70</v>
      </c>
    </row>
    <row r="4" spans="1:8" ht="15">
      <c r="A4" s="38"/>
      <c r="B4" s="40"/>
      <c r="C4" s="22" t="s">
        <v>71</v>
      </c>
      <c r="D4" s="22" t="s">
        <v>72</v>
      </c>
      <c r="E4" s="40"/>
      <c r="F4" s="40"/>
      <c r="G4" s="40"/>
      <c r="H4" s="42"/>
    </row>
    <row r="5" spans="1:8">
      <c r="A5" s="13" t="s">
        <v>68</v>
      </c>
      <c r="B5" s="29">
        <v>10</v>
      </c>
      <c r="C5" s="29">
        <v>10.119999999999999</v>
      </c>
      <c r="D5" s="29">
        <v>10.08</v>
      </c>
      <c r="E5" s="29">
        <f>AVERAGE(C5:D5)</f>
        <v>10.1</v>
      </c>
      <c r="F5" s="29">
        <f>E5-B5</f>
        <v>9.9999999999999645E-2</v>
      </c>
      <c r="G5" s="43" t="s">
        <v>73</v>
      </c>
      <c r="H5" s="14" t="str">
        <f>IF(ABS(F5)&lt;=0.5,"合格","不合格")</f>
        <v>合格</v>
      </c>
    </row>
    <row r="6" spans="1:8">
      <c r="A6" s="15" t="s">
        <v>68</v>
      </c>
      <c r="B6" s="30">
        <v>20</v>
      </c>
      <c r="C6" s="30">
        <v>20.16</v>
      </c>
      <c r="D6" s="30">
        <v>20.11</v>
      </c>
      <c r="E6" s="30">
        <f>AVERAGE(C6:D6)</f>
        <v>20.134999999999998</v>
      </c>
      <c r="F6" s="30">
        <f>E6-B6</f>
        <v>0.13499999999999801</v>
      </c>
      <c r="G6" s="44"/>
      <c r="H6" s="16" t="str">
        <f>IF(ABS(F6)&lt;=0.5,"合格","不合格")</f>
        <v>合格</v>
      </c>
    </row>
    <row r="7" spans="1:8">
      <c r="A7" s="17" t="s">
        <v>68</v>
      </c>
      <c r="B7" s="31">
        <v>30</v>
      </c>
      <c r="C7" s="31">
        <v>29.82</v>
      </c>
      <c r="D7" s="31">
        <v>29.88</v>
      </c>
      <c r="E7" s="31">
        <f>AVERAGE(C7:D7)</f>
        <v>29.85</v>
      </c>
      <c r="F7" s="31">
        <f>E7-B7</f>
        <v>-0.14999999999999858</v>
      </c>
      <c r="G7" s="45"/>
      <c r="H7" s="18" t="str">
        <f>IF(ABS(F7)&lt;=0.5,"合格","不合格")</f>
        <v>合格</v>
      </c>
    </row>
    <row r="9" spans="1:8" ht="15">
      <c r="A9" s="46" t="s">
        <v>74</v>
      </c>
      <c r="B9" s="46" t="s">
        <v>74</v>
      </c>
      <c r="C9" s="46" t="s">
        <v>74</v>
      </c>
      <c r="D9" s="46" t="s">
        <v>74</v>
      </c>
      <c r="E9" s="46" t="s">
        <v>74</v>
      </c>
      <c r="F9" s="46" t="s">
        <v>74</v>
      </c>
      <c r="G9" s="46" t="s">
        <v>74</v>
      </c>
      <c r="H9" s="46" t="s">
        <v>74</v>
      </c>
    </row>
    <row r="10" spans="1:8" ht="15">
      <c r="A10" s="26" t="s">
        <v>64</v>
      </c>
      <c r="B10" s="27" t="s">
        <v>65</v>
      </c>
      <c r="C10" s="27" t="s">
        <v>75</v>
      </c>
      <c r="D10" s="27" t="s">
        <v>76</v>
      </c>
      <c r="E10" s="27" t="s">
        <v>77</v>
      </c>
      <c r="F10" s="27" t="s">
        <v>78</v>
      </c>
      <c r="G10" s="27" t="s">
        <v>69</v>
      </c>
      <c r="H10" s="28" t="s">
        <v>70</v>
      </c>
    </row>
    <row r="11" spans="1:8">
      <c r="A11" s="15" t="s">
        <v>79</v>
      </c>
      <c r="B11" s="30">
        <v>50</v>
      </c>
      <c r="C11" s="30">
        <v>50.03</v>
      </c>
      <c r="D11" s="30">
        <v>49.98</v>
      </c>
      <c r="E11" s="30">
        <v>50.01</v>
      </c>
      <c r="F11" s="30">
        <f>MAX(C11:E11)-MIN(C11:E11)</f>
        <v>5.0000000000004263E-2</v>
      </c>
      <c r="G11" s="24" t="s">
        <v>80</v>
      </c>
      <c r="H11" s="16" t="str">
        <f>IF(F11&lt;=0.1,"合格","不合格")</f>
        <v>合格</v>
      </c>
    </row>
    <row r="12" spans="1:8">
      <c r="A12" s="17" t="s">
        <v>79</v>
      </c>
      <c r="B12" s="31">
        <v>100</v>
      </c>
      <c r="C12" s="31">
        <v>100.04</v>
      </c>
      <c r="D12" s="31">
        <v>99.97</v>
      </c>
      <c r="E12" s="31">
        <v>100.01</v>
      </c>
      <c r="F12" s="31">
        <f>MAX(C12:E12)-MIN(C12:E12)</f>
        <v>7.000000000000739E-2</v>
      </c>
      <c r="G12" s="25" t="s">
        <v>80</v>
      </c>
      <c r="H12" s="18" t="str">
        <f>IF(F12&lt;=0.1,"合格","不合格")</f>
        <v>合格</v>
      </c>
    </row>
  </sheetData>
  <mergeCells count="10">
    <mergeCell ref="G5:G7"/>
    <mergeCell ref="A9:H9"/>
    <mergeCell ref="A1:H1"/>
    <mergeCell ref="A3:A4"/>
    <mergeCell ref="B3:B4"/>
    <mergeCell ref="C3:D3"/>
    <mergeCell ref="E3:E4"/>
    <mergeCell ref="F3:F4"/>
    <mergeCell ref="G3:G4"/>
    <mergeCell ref="H3:H4"/>
  </mergeCells>
  <phoneticPr fontId="5" type="noConversion"/>
  <conditionalFormatting sqref="H5:H12">
    <cfRule type="containsText" dxfId="1" priority="1" operator="containsText" text="不合格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workbookViewId="0"/>
  </sheetViews>
  <sheetFormatPr defaultRowHeight="14.25"/>
  <cols>
    <col min="1" max="8" width="16" customWidth="1"/>
  </cols>
  <sheetData>
    <row r="1" spans="1:8" ht="20.25">
      <c r="A1" s="36" t="s">
        <v>81</v>
      </c>
      <c r="B1" s="36" t="s">
        <v>81</v>
      </c>
      <c r="C1" s="36" t="s">
        <v>81</v>
      </c>
      <c r="D1" s="36" t="s">
        <v>81</v>
      </c>
      <c r="E1" s="36" t="s">
        <v>81</v>
      </c>
      <c r="F1" s="36" t="s">
        <v>81</v>
      </c>
      <c r="G1" s="36" t="s">
        <v>81</v>
      </c>
      <c r="H1" s="36" t="s">
        <v>81</v>
      </c>
    </row>
    <row r="3" spans="1:8" ht="15">
      <c r="A3" s="1" t="s">
        <v>65</v>
      </c>
      <c r="B3" s="2" t="s">
        <v>75</v>
      </c>
      <c r="C3" s="2" t="s">
        <v>76</v>
      </c>
      <c r="D3" s="2" t="s">
        <v>77</v>
      </c>
      <c r="E3" s="2" t="s">
        <v>67</v>
      </c>
      <c r="F3" s="2" t="s">
        <v>82</v>
      </c>
      <c r="G3" s="2" t="s">
        <v>69</v>
      </c>
      <c r="H3" s="3" t="s">
        <v>70</v>
      </c>
    </row>
    <row r="4" spans="1:8">
      <c r="A4" s="32">
        <v>50</v>
      </c>
      <c r="B4" s="33">
        <v>50.1</v>
      </c>
      <c r="C4" s="33">
        <v>50.12</v>
      </c>
      <c r="D4" s="33">
        <v>50.08</v>
      </c>
      <c r="E4" s="33">
        <f>AVERAGE(B4:D4)</f>
        <v>50.1</v>
      </c>
      <c r="F4" s="33">
        <f>IF(A4&lt;=100,(E4-A4)/A4,E4-A4)</f>
        <v>2.0000000000000282E-3</v>
      </c>
      <c r="G4" s="23" t="s">
        <v>83</v>
      </c>
      <c r="H4" s="14" t="str">
        <f>IF(A4&lt;=100,IF(ABS(F4)&lt;=0.005,"合格","不合格"),IF(ABS(F4)&lt;=1,"合格","不合格"))</f>
        <v>合格</v>
      </c>
    </row>
    <row r="5" spans="1:8">
      <c r="A5" s="34">
        <v>200</v>
      </c>
      <c r="B5" s="35">
        <v>200.4</v>
      </c>
      <c r="C5" s="35">
        <v>200.35</v>
      </c>
      <c r="D5" s="35">
        <v>200.45</v>
      </c>
      <c r="E5" s="35">
        <f>AVERAGE(B5:D5)</f>
        <v>200.4</v>
      </c>
      <c r="F5" s="35">
        <f>IF(A5&lt;=100,(E5-A5)/A5,E5-A5)</f>
        <v>0.40000000000000568</v>
      </c>
      <c r="G5" s="25" t="s">
        <v>84</v>
      </c>
      <c r="H5" s="18" t="str">
        <f>IF(A5&lt;=100,IF(ABS(F5)&lt;=0.005,"合格","不合格"),IF(ABS(F5)&lt;=1,"合格","不合格"))</f>
        <v>合格</v>
      </c>
    </row>
  </sheetData>
  <mergeCells count="1">
    <mergeCell ref="A1:H1"/>
  </mergeCells>
  <phoneticPr fontId="5" type="noConversion"/>
  <conditionalFormatting sqref="H4:H5">
    <cfRule type="containsText" dxfId="0" priority="1" operator="containsText" text="不合格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/>
  </sheetViews>
  <sheetFormatPr defaultRowHeight="14.25"/>
  <cols>
    <col min="1" max="3" width="18" customWidth="1"/>
    <col min="4" max="4" width="34" customWidth="1"/>
  </cols>
  <sheetData>
    <row r="1" spans="1:4" ht="20.25">
      <c r="A1" s="36" t="s">
        <v>85</v>
      </c>
      <c r="B1" s="36" t="s">
        <v>85</v>
      </c>
      <c r="C1" s="36" t="s">
        <v>85</v>
      </c>
      <c r="D1" s="36" t="s">
        <v>85</v>
      </c>
    </row>
    <row r="3" spans="1:4" ht="15">
      <c r="A3" s="1" t="s">
        <v>86</v>
      </c>
      <c r="B3" s="2" t="s">
        <v>87</v>
      </c>
      <c r="C3" s="2" t="s">
        <v>7</v>
      </c>
      <c r="D3" s="3" t="s">
        <v>88</v>
      </c>
    </row>
    <row r="4" spans="1:4">
      <c r="A4" s="13">
        <v>1</v>
      </c>
      <c r="B4" s="23" t="s">
        <v>59</v>
      </c>
      <c r="C4" s="23" t="s">
        <v>89</v>
      </c>
      <c r="D4" s="14" t="s">
        <v>90</v>
      </c>
    </row>
    <row r="5" spans="1:4">
      <c r="A5" s="15">
        <v>2</v>
      </c>
      <c r="B5" s="24" t="s">
        <v>91</v>
      </c>
      <c r="C5" s="24" t="s">
        <v>92</v>
      </c>
      <c r="D5" s="16"/>
    </row>
    <row r="6" spans="1:4">
      <c r="A6" s="17">
        <v>3</v>
      </c>
      <c r="B6" s="25" t="s">
        <v>93</v>
      </c>
      <c r="C6" s="25" t="s">
        <v>89</v>
      </c>
      <c r="D6" s="18"/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回归清单</vt:lpstr>
      <vt:lpstr>原始记录</vt:lpstr>
      <vt:lpstr>公式分支</vt:lpstr>
      <vt:lpstr>台账</vt:lpstr>
      <vt:lpstr>原始记录!Print_Area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LI</cp:lastModifiedBy>
  <dcterms:modified xsi:type="dcterms:W3CDTF">2026-07-26T09:19:59Z</dcterms:modified>
</cp:coreProperties>
</file>